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535"/>
  </bookViews>
  <sheets>
    <sheet name="报关单" sheetId="5" r:id="rId1"/>
    <sheet name="申报要素" sheetId="6" r:id="rId2"/>
    <sheet name="发票" sheetId="27" r:id="rId3"/>
    <sheet name="装箱单" sheetId="28" r:id="rId4"/>
  </sheets>
  <definedNames>
    <definedName name="_xlnm.Print_Area" localSheetId="0">报关单!$A$1:$R$38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<sst xmlns="http://schemas.openxmlformats.org/spreadsheetml/2006/main" count="147" uniqueCount="116">
  <si>
    <t>中华人民共和国海关进口货物报关单</t>
  </si>
  <si>
    <t xml:space="preserve"> </t>
  </si>
  <si>
    <t>预录入编号：</t>
  </si>
  <si>
    <t>海关编号：</t>
  </si>
  <si>
    <t>境内发货人 3302968B3G</t>
  </si>
  <si>
    <t>出境关别</t>
  </si>
  <si>
    <t>出口日期</t>
  </si>
  <si>
    <t>申报日期</t>
  </si>
  <si>
    <t>备案号</t>
  </si>
  <si>
    <t>宁波梓熠科技有限公司</t>
  </si>
  <si>
    <t xml:space="preserve">91330203MAEAPFR6XR </t>
  </si>
  <si>
    <t>境外收货人</t>
  </si>
  <si>
    <t>运输方式</t>
  </si>
  <si>
    <t>运输工具名称及航次号</t>
  </si>
  <si>
    <t>提运单号</t>
  </si>
  <si>
    <t xml:space="preserve">Union Retail Limited Liability Partnership                                                                                                     
                                                                                                            </t>
  </si>
  <si>
    <t>公路运输</t>
  </si>
  <si>
    <t>生产销售单位</t>
  </si>
  <si>
    <t>监管方式</t>
  </si>
  <si>
    <t>征免性质</t>
  </si>
  <si>
    <t>许可证</t>
  </si>
  <si>
    <t>一般贸易</t>
  </si>
  <si>
    <t>一般征税</t>
  </si>
  <si>
    <t>合同协议号</t>
  </si>
  <si>
    <t>贸易国(地区)</t>
  </si>
  <si>
    <t>运抵国(地区)</t>
  </si>
  <si>
    <t>指运港</t>
  </si>
  <si>
    <t>离境口岸</t>
  </si>
  <si>
    <t>ZIYI-26-0124</t>
  </si>
  <si>
    <t>哈萨克斯坦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</si>
  <si>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</si>
  <si>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</si>
  <si>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</si>
  <si>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</si>
  <si>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</si>
  <si>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</si>
  <si>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</si>
  <si>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</si>
  <si>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纸箱</t>
  </si>
  <si>
    <t>FOB</t>
  </si>
  <si>
    <t>随附单证</t>
  </si>
  <si>
    <t>随附单证1：</t>
  </si>
  <si>
    <t>随附单证2：合同；发票；装箱单</t>
  </si>
  <si>
    <t>标记唛码及备注</t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</si>
  <si>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</si>
  <si>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</si>
  <si>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</si>
  <si>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</si>
  <si>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</si>
  <si>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</si>
  <si>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</si>
  <si>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</si>
  <si>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</si>
  <si>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RFID标签</t>
  </si>
  <si>
    <t>60000个</t>
  </si>
  <si>
    <t>0.165</t>
  </si>
  <si>
    <t>USD</t>
  </si>
  <si>
    <t>中国（CHN）</t>
  </si>
  <si>
    <t>哈萨克斯坦（KAZ)</t>
  </si>
  <si>
    <t>宁波其他（33029）</t>
  </si>
  <si>
    <t>照章征税（1）</t>
  </si>
  <si>
    <t>用途：提供唯一数据；是否录制：否；品牌：无；型号：IMPINJ MONZA R6P;品牌类型：无品牌；出口享惠情况：不确定</t>
  </si>
  <si>
    <t>60000(个）</t>
  </si>
  <si>
    <t>特殊关系确认：</t>
  </si>
  <si>
    <t>价格影响确认：</t>
  </si>
  <si>
    <t>支付特许权使用费确认：</t>
  </si>
  <si>
    <t>自报自缴：</t>
  </si>
  <si>
    <t>报关人员        报关人员证号            电话</t>
  </si>
  <si>
    <t>兹申明对以上内容承担如实申报、依法纳税责任</t>
  </si>
  <si>
    <t>海关批注及签章</t>
  </si>
  <si>
    <t>申报单位</t>
  </si>
  <si>
    <t>申报单位(签章)</t>
  </si>
  <si>
    <t>报关单、备案清单版式由竖版改为横版，纸质单证全部采用普通打印方式，取消套打，不在印制空白格式单证.</t>
  </si>
  <si>
    <t>申报要素</t>
  </si>
  <si>
    <t>项号：1</t>
  </si>
  <si>
    <t>商品编码：8523591000</t>
  </si>
  <si>
    <t>商品名称：RFID标签</t>
  </si>
  <si>
    <t>0:用途; 提供唯一数据</t>
  </si>
  <si>
    <t>1:是否录制;否</t>
  </si>
  <si>
    <t>2:品牌; 无</t>
  </si>
  <si>
    <t>3:型号：IMPINJ MONZA R6P</t>
  </si>
  <si>
    <r>
      <rPr>
        <sz val="11"/>
        <color rgb="FF191919"/>
        <rFont val="Arial"/>
        <charset val="134"/>
      </rPr>
      <t>4:</t>
    </r>
    <r>
      <rPr>
        <sz val="11"/>
        <color rgb="FF191919"/>
        <rFont val="宋体"/>
        <charset val="134"/>
      </rPr>
      <t>品牌类型</t>
    </r>
    <r>
      <rPr>
        <sz val="11"/>
        <color rgb="FF191919"/>
        <rFont val="Arial"/>
        <charset val="134"/>
      </rPr>
      <t>;</t>
    </r>
    <r>
      <rPr>
        <sz val="11"/>
        <color rgb="FF191919"/>
        <rFont val="宋体"/>
        <charset val="134"/>
      </rPr>
      <t>无品牌</t>
    </r>
  </si>
  <si>
    <r>
      <rPr>
        <sz val="11"/>
        <color rgb="FF191919"/>
        <rFont val="Arial"/>
        <charset val="134"/>
      </rPr>
      <t>5:</t>
    </r>
    <r>
      <rPr>
        <sz val="11"/>
        <color rgb="FF191919"/>
        <rFont val="宋体"/>
        <charset val="134"/>
      </rPr>
      <t>出口享惠情况</t>
    </r>
    <r>
      <rPr>
        <sz val="11"/>
        <color rgb="FF191919"/>
        <rFont val="Arial"/>
        <charset val="134"/>
      </rPr>
      <t>;</t>
    </r>
    <r>
      <rPr>
        <sz val="11"/>
        <color rgb="FF191919"/>
        <rFont val="宋体"/>
        <charset val="134"/>
      </rPr>
      <t>不确定</t>
    </r>
  </si>
  <si>
    <t xml:space="preserve">Issuer: NINGBO ZIYI TECHNOLOGY CO.,LTD
                                                                                 </t>
  </si>
  <si>
    <r>
      <rPr>
        <b/>
        <i/>
        <sz val="16"/>
        <rFont val="NSimSun"/>
        <charset val="134"/>
      </rPr>
      <t xml:space="preserve">商业发票
</t>
    </r>
    <r>
      <rPr>
        <b/>
        <i/>
        <sz val="16"/>
        <rFont val="Arial"/>
        <charset val="134"/>
      </rPr>
      <t>COMMERCIAL INVOICE</t>
    </r>
  </si>
  <si>
    <t>XIUFENG, GAOQIAO TOWN, HAISHU DISTRICT, NINGBO, ZHEJIANG,CHINA</t>
  </si>
  <si>
    <t xml:space="preserve">To: Union Retail Limited Liability Partnership
                                                                                          </t>
  </si>
  <si>
    <t>050060, Republic of Kazakhstan, Almaty city, Bostandykdistrict, 34 Abish Kekilbayuly Street, office 7-04</t>
  </si>
  <si>
    <t>No:  ZIYI-26-0124</t>
  </si>
  <si>
    <t>Date:  January. 24, 2026</t>
  </si>
  <si>
    <t>Transport details             BY TRUCK</t>
  </si>
  <si>
    <t>Terms of payment  T/T</t>
  </si>
  <si>
    <t>From  SHANGHAI, CHINA</t>
  </si>
  <si>
    <t>To     Kazakstan</t>
  </si>
  <si>
    <t>Numbers and kind of packages description of goods</t>
  </si>
  <si>
    <r>
      <rPr>
        <sz val="10"/>
        <rFont val="Arial"/>
        <charset val="134"/>
      </rPr>
      <t>Quantities</t>
    </r>
  </si>
  <si>
    <t>Unit Price</t>
  </si>
  <si>
    <t>Amount</t>
  </si>
  <si>
    <t>FOB SHANGHAI</t>
  </si>
  <si>
    <t xml:space="preserve">CHINA
    </t>
  </si>
  <si>
    <t>IMPINJ MONZA R6P (RFID LABEL)</t>
  </si>
  <si>
    <t>PCS</t>
  </si>
  <si>
    <t xml:space="preserve">      TOTAL:</t>
  </si>
  <si>
    <t>SAY NINE THOUSAND AND NINE HUNDRED USD ONLY</t>
  </si>
  <si>
    <t>TOTAL PACKED IN 60 CARTONS</t>
  </si>
  <si>
    <t>N/M</t>
  </si>
  <si>
    <r>
      <rPr>
        <b/>
        <i/>
        <sz val="16"/>
        <rFont val="NSimSun"/>
        <charset val="134"/>
      </rPr>
      <t xml:space="preserve">装箱单
</t>
    </r>
    <r>
      <rPr>
        <b/>
        <i/>
        <sz val="16"/>
        <rFont val="Arial"/>
        <charset val="134"/>
      </rPr>
      <t>PACKING LIST</t>
    </r>
  </si>
  <si>
    <t>To      Kazakstan</t>
  </si>
  <si>
    <r>
      <rPr>
        <sz val="9"/>
        <rFont val="Arial"/>
        <charset val="134"/>
      </rPr>
      <t>Quantities</t>
    </r>
  </si>
  <si>
    <t>PKGS</t>
  </si>
  <si>
    <t>G.W.</t>
  </si>
  <si>
    <t>N.W.</t>
  </si>
  <si>
    <t>MEAS.</t>
  </si>
  <si>
    <t>CARTONS</t>
  </si>
  <si>
    <t>KGS</t>
  </si>
  <si>
    <t>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</si>
</sst>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#,##0.0000_);[Red]\(#,##0.0000\)"/>
    <numFmt numFmtId="179" formatCode="0.0000_ "/>
  </numFmts>
  <fonts count="45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b/>
      <i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6"/>
      <color rgb="FF000000"/>
      <name val="Arial"/>
      <charset val="134"/>
    </font>
    <font>
      <sz val="11"/>
      <color rgb="FF333333"/>
      <name val="宋体"/>
      <charset val="134"/>
    </font>
    <font>
      <sz val="11"/>
      <color rgb="FF191919"/>
      <name val="宋体"/>
      <charset val="134"/>
    </font>
    <font>
      <sz val="11"/>
      <color rgb="FF191919"/>
      <name val="Arial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  <scheme val="minor"/>
    </font>
    <font>
      <sz val="11"/>
      <color rgb="FFFF0000"/>
      <name val="宋体"/>
      <charset val="134"/>
    </font>
    <font>
      <b/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i/>
      <sz val="16"/>
      <name val="NSimSun"/>
      <charset val="134"/>
    </font>
    <font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22" fillId="2" borderId="2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30" applyNumberFormat="0" applyAlignment="0" applyProtection="0">
      <alignment vertical="center"/>
    </xf>
    <xf numFmtId="0" fontId="32" fillId="4" borderId="31" applyNumberFormat="0" applyAlignment="0" applyProtection="0">
      <alignment vertical="center"/>
    </xf>
    <xf numFmtId="0" fontId="33" fillId="4" borderId="30" applyNumberFormat="0" applyAlignment="0" applyProtection="0">
      <alignment vertical="center"/>
    </xf>
    <xf numFmtId="0" fontId="34" fillId="5" borderId="32" applyNumberFormat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0" borderId="34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42" fillId="0" borderId="0">
      <alignment vertical="center"/>
    </xf>
  </cellStyleXfs>
  <cellXfs count="16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0" fontId="9" fillId="0" borderId="11" xfId="0" applyFont="1" applyBorder="1">
      <alignment vertical="center"/>
    </xf>
    <xf numFmtId="0" fontId="0" fillId="0" borderId="0" xfId="0" applyFont="1">
      <alignment vertical="center"/>
    </xf>
    <xf numFmtId="0" fontId="8" fillId="0" borderId="4" xfId="0" applyFont="1" applyBorder="1">
      <alignment vertical="center"/>
    </xf>
    <xf numFmtId="0" fontId="9" fillId="0" borderId="12" xfId="0" applyFont="1" applyBorder="1">
      <alignment vertical="center"/>
    </xf>
    <xf numFmtId="176" fontId="9" fillId="0" borderId="12" xfId="0" applyNumberFormat="1" applyFont="1" applyBorder="1">
      <alignment vertical="center"/>
    </xf>
    <xf numFmtId="0" fontId="9" fillId="0" borderId="13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0" fillId="0" borderId="0" xfId="0" applyFont="1" applyAlignment="1">
      <alignment vertical="center"/>
    </xf>
    <xf numFmtId="0" fontId="14" fillId="0" borderId="0" xfId="0" applyFont="1" applyAlignment="1">
      <alignment horizontal="justify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Fill="1" applyAlignment="1">
      <alignment vertical="top"/>
    </xf>
    <xf numFmtId="0" fontId="15" fillId="0" borderId="0" xfId="0" applyFont="1" applyFill="1">
      <alignment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 shrinkToFit="1"/>
    </xf>
    <xf numFmtId="0" fontId="17" fillId="0" borderId="0" xfId="0" applyFont="1" applyFill="1">
      <alignment vertical="center"/>
    </xf>
    <xf numFmtId="0" fontId="18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 vertical="top"/>
    </xf>
    <xf numFmtId="0" fontId="15" fillId="0" borderId="14" xfId="0" applyFont="1" applyFill="1" applyBorder="1" applyAlignment="1">
      <alignment horizontal="center" vertical="top"/>
    </xf>
    <xf numFmtId="0" fontId="15" fillId="0" borderId="15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horizontal="center" vertical="center"/>
    </xf>
    <xf numFmtId="0" fontId="15" fillId="0" borderId="15" xfId="0" applyFont="1" applyFill="1" applyBorder="1">
      <alignment vertical="center"/>
    </xf>
    <xf numFmtId="0" fontId="15" fillId="0" borderId="17" xfId="0" applyFont="1" applyFill="1" applyBorder="1">
      <alignment vertical="center"/>
    </xf>
    <xf numFmtId="0" fontId="15" fillId="0" borderId="17" xfId="0" applyFont="1" applyFill="1" applyBorder="1" applyAlignment="1">
      <alignment horizontal="left" vertical="center"/>
    </xf>
    <xf numFmtId="0" fontId="15" fillId="0" borderId="18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18" xfId="0" applyFont="1" applyFill="1" applyBorder="1">
      <alignment vertical="center"/>
    </xf>
    <xf numFmtId="0" fontId="15" fillId="0" borderId="19" xfId="0" applyFont="1" applyFill="1" applyBorder="1">
      <alignment vertical="center"/>
    </xf>
    <xf numFmtId="0" fontId="15" fillId="0" borderId="19" xfId="0" applyFont="1" applyFill="1" applyBorder="1" applyAlignment="1">
      <alignment horizontal="left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left" vertical="top"/>
    </xf>
    <xf numFmtId="0" fontId="15" fillId="0" borderId="16" xfId="0" applyFont="1" applyFill="1" applyBorder="1" applyAlignment="1">
      <alignment horizontal="left" vertical="top"/>
    </xf>
    <xf numFmtId="0" fontId="15" fillId="0" borderId="17" xfId="0" applyFont="1" applyFill="1" applyBorder="1" applyAlignment="1">
      <alignment horizontal="left" vertical="top"/>
    </xf>
    <xf numFmtId="0" fontId="19" fillId="0" borderId="20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/>
    </xf>
    <xf numFmtId="0" fontId="15" fillId="0" borderId="21" xfId="0" applyFont="1" applyFill="1" applyBorder="1" applyAlignment="1">
      <alignment horizontal="left" vertical="top"/>
    </xf>
    <xf numFmtId="49" fontId="15" fillId="0" borderId="17" xfId="0" applyNumberFormat="1" applyFont="1" applyFill="1" applyBorder="1" applyAlignment="1">
      <alignment horizontal="center" vertical="center"/>
    </xf>
    <xf numFmtId="49" fontId="15" fillId="0" borderId="16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5" fillId="0" borderId="22" xfId="0" applyFont="1" applyFill="1" applyBorder="1">
      <alignment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shrinkToFit="1"/>
    </xf>
    <xf numFmtId="0" fontId="17" fillId="0" borderId="20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/>
    </xf>
    <xf numFmtId="0" fontId="16" fillId="0" borderId="20" xfId="0" applyFont="1" applyFill="1" applyBorder="1" applyAlignment="1">
      <alignment horizontal="left" vertical="center"/>
    </xf>
    <xf numFmtId="0" fontId="16" fillId="0" borderId="14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left" vertical="center"/>
    </xf>
    <xf numFmtId="0" fontId="20" fillId="0" borderId="16" xfId="0" applyFont="1" applyFill="1" applyBorder="1" applyAlignment="1">
      <alignment vertical="center"/>
    </xf>
    <xf numFmtId="0" fontId="15" fillId="0" borderId="16" xfId="0" applyFont="1" applyFill="1" applyBorder="1">
      <alignment vertical="center"/>
    </xf>
    <xf numFmtId="0" fontId="20" fillId="0" borderId="17" xfId="0" applyFont="1" applyFill="1" applyBorder="1" applyAlignment="1">
      <alignment vertical="center"/>
    </xf>
    <xf numFmtId="0" fontId="15" fillId="0" borderId="24" xfId="0" applyFont="1" applyFill="1" applyBorder="1" applyAlignment="1">
      <alignment horizontal="center" vertical="center" shrinkToFit="1"/>
    </xf>
    <xf numFmtId="0" fontId="15" fillId="0" borderId="25" xfId="0" applyFont="1" applyFill="1" applyBorder="1" applyAlignment="1">
      <alignment horizontal="center" vertical="center" shrinkToFit="1"/>
    </xf>
    <xf numFmtId="0" fontId="15" fillId="0" borderId="26" xfId="0" applyFont="1" applyFill="1" applyBorder="1" applyAlignment="1">
      <alignment horizontal="center" vertical="center" shrinkToFit="1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49" fontId="16" fillId="0" borderId="16" xfId="0" applyNumberFormat="1" applyFont="1" applyFill="1" applyBorder="1" applyAlignment="1">
      <alignment horizontal="right" vertical="center" shrinkToFit="1"/>
    </xf>
    <xf numFmtId="177" fontId="16" fillId="0" borderId="16" xfId="0" applyNumberFormat="1" applyFont="1" applyFill="1" applyBorder="1" applyAlignment="1">
      <alignment vertical="center" shrinkToFit="1"/>
    </xf>
    <xf numFmtId="178" fontId="16" fillId="0" borderId="16" xfId="0" applyNumberFormat="1" applyFont="1" applyFill="1" applyBorder="1" applyAlignment="1">
      <alignment vertical="center" shrinkToFit="1"/>
    </xf>
    <xf numFmtId="0" fontId="16" fillId="0" borderId="16" xfId="0" applyFont="1" applyFill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16" fillId="0" borderId="17" xfId="0" applyFont="1" applyFill="1" applyBorder="1" applyAlignment="1">
      <alignment horizontal="right" vertical="center"/>
    </xf>
    <xf numFmtId="0" fontId="21" fillId="0" borderId="0" xfId="0" applyFont="1" applyFill="1">
      <alignment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179" fontId="21" fillId="0" borderId="0" xfId="0" applyNumberFormat="1" applyFont="1" applyFill="1" applyBorder="1" applyAlignment="1">
      <alignment horizontal="center" vertical="center"/>
    </xf>
    <xf numFmtId="177" fontId="16" fillId="0" borderId="0" xfId="0" applyNumberFormat="1" applyFont="1" applyFill="1" applyAlignment="1">
      <alignment vertical="center" shrinkToFit="1"/>
    </xf>
    <xf numFmtId="178" fontId="16" fillId="0" borderId="0" xfId="0" applyNumberFormat="1" applyFont="1" applyFill="1" applyAlignment="1">
      <alignment vertical="center" shrinkToFit="1"/>
    </xf>
    <xf numFmtId="0" fontId="16" fillId="0" borderId="0" xfId="0" applyFont="1" applyFill="1" applyAlignment="1">
      <alignment horizontal="right" vertical="center"/>
    </xf>
    <xf numFmtId="49" fontId="16" fillId="0" borderId="19" xfId="0" applyNumberFormat="1" applyFont="1" applyBorder="1" applyAlignment="1">
      <alignment horizontal="right" vertical="center"/>
    </xf>
    <xf numFmtId="179" fontId="21" fillId="0" borderId="0" xfId="0" applyNumberFormat="1" applyFont="1" applyFill="1" applyAlignment="1">
      <alignment horizontal="center" vertical="center"/>
    </xf>
    <xf numFmtId="178" fontId="16" fillId="0" borderId="0" xfId="0" applyNumberFormat="1" applyFont="1" applyFill="1" applyAlignment="1">
      <alignment horizontal="right" vertical="center"/>
    </xf>
    <xf numFmtId="49" fontId="16" fillId="0" borderId="0" xfId="0" applyNumberFormat="1" applyFont="1" applyFill="1" applyAlignment="1">
      <alignment horizontal="right" vertical="center"/>
    </xf>
    <xf numFmtId="49" fontId="16" fillId="0" borderId="19" xfId="0" applyNumberFormat="1" applyFont="1" applyFill="1" applyBorder="1" applyAlignment="1">
      <alignment horizontal="right" vertical="center"/>
    </xf>
    <xf numFmtId="0" fontId="15" fillId="0" borderId="24" xfId="0" applyFont="1" applyFill="1" applyBorder="1">
      <alignment vertical="center"/>
    </xf>
    <xf numFmtId="0" fontId="15" fillId="0" borderId="25" xfId="0" applyFont="1" applyFill="1" applyBorder="1">
      <alignment vertical="center"/>
    </xf>
    <xf numFmtId="0" fontId="15" fillId="0" borderId="25" xfId="0" applyFont="1" applyFill="1" applyBorder="1" applyAlignment="1">
      <alignment horizontal="right" vertical="center"/>
    </xf>
    <xf numFmtId="0" fontId="15" fillId="0" borderId="26" xfId="0" applyFont="1" applyFill="1" applyBorder="1">
      <alignment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fareast6N1Z2092^T0603281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577442</xdr:colOff>
      <xdr:row>0</xdr:row>
      <xdr:rowOff>600075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55816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19</xdr:row>
      <xdr:rowOff>104775</xdr:rowOff>
    </xdr:from>
    <xdr:ext cx="2390775" cy="159258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6664325"/>
          <a:ext cx="2390775" cy="15925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18</xdr:row>
      <xdr:rowOff>104775</xdr:rowOff>
    </xdr:from>
    <xdr:ext cx="2390775" cy="159258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385560"/>
          <a:ext cx="2390775" cy="1592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H24" sqref="H24:J24"/>
    </sheetView>
  </sheetViews>
  <sheetFormatPr defaultColWidth="9" defaultRowHeight="13.5"/>
  <cols>
    <col min="1" max="1" width="14.3833333333333" style="83" customWidth="1"/>
    <col min="2" max="2" width="8.88333333333333" style="83" customWidth="1"/>
    <col min="3" max="3" width="11.125" style="83" customWidth="1"/>
    <col min="4" max="4" width="1.625" style="83" hidden="1" customWidth="1"/>
    <col min="5" max="5" width="13.6333333333333" style="83" customWidth="1"/>
    <col min="6" max="6" width="13" style="83" customWidth="1"/>
    <col min="7" max="7" width="9.75" style="83" customWidth="1"/>
    <col min="8" max="8" width="11.625" style="83" customWidth="1"/>
    <col min="9" max="9" width="10" style="83" customWidth="1"/>
    <col min="10" max="10" width="4.625" style="83" customWidth="1"/>
    <col min="11" max="11" width="10.3333333333333" style="83" customWidth="1"/>
    <col min="12" max="12" width="6.5" style="83" customWidth="1"/>
    <col min="13" max="13" width="8.75" style="83" customWidth="1"/>
    <col min="14" max="14" width="3.88333333333333" style="83" customWidth="1"/>
    <col min="15" max="15" width="6.75" style="83" customWidth="1"/>
    <col min="16" max="16" width="6.63333333333333" style="83" customWidth="1"/>
    <col min="17" max="17" width="11.875" style="83" customWidth="1"/>
    <col min="18" max="19" width="9" style="83"/>
    <col min="20" max="20" width="12.75" style="83" customWidth="1"/>
    <col min="21" max="16384" width="9" style="83"/>
  </cols>
  <sheetData>
    <row r="1" ht="53.25" customHeight="1" spans="1:20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S1" s="83" t="s">
        <v>1</v>
      </c>
    </row>
    <row r="2" s="79" customFormat="1" ht="15" customHeight="1" spans="1:20">
      <c r="A2" s="85" t="s">
        <v>2</v>
      </c>
      <c r="B2" s="85"/>
      <c r="C2" s="86"/>
      <c r="D2" s="86"/>
      <c r="E2" s="79" t="s">
        <v>3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="80" customFormat="1" ht="15" customHeight="1" spans="1:20">
      <c r="A3" s="87" t="s">
        <v>4</v>
      </c>
      <c r="B3" s="88"/>
      <c r="C3" s="89" t="s">
        <v>1</v>
      </c>
      <c r="D3" s="90"/>
      <c r="E3" s="91" t="s">
        <v>5</v>
      </c>
      <c r="F3" s="92"/>
      <c r="G3" s="87" t="s">
        <v>6</v>
      </c>
      <c r="H3" s="88"/>
      <c r="I3" s="88"/>
      <c r="J3" s="93"/>
      <c r="K3" s="87" t="s">
        <v>7</v>
      </c>
      <c r="L3" s="88"/>
      <c r="M3" s="88"/>
      <c r="N3" s="87" t="s">
        <v>8</v>
      </c>
      <c r="O3" s="88"/>
      <c r="P3" s="88"/>
      <c r="Q3" s="93"/>
    </row>
    <row r="4" s="80" customFormat="1" ht="15" customHeight="1" spans="1:20">
      <c r="A4" s="94" t="s">
        <v>9</v>
      </c>
      <c r="B4" s="95"/>
      <c r="C4" s="96"/>
      <c r="D4" s="97"/>
      <c r="E4" s="98"/>
      <c r="F4" s="99"/>
      <c r="G4" s="94"/>
      <c r="H4" s="95"/>
      <c r="I4" s="95"/>
      <c r="J4" s="100"/>
      <c r="K4" s="94"/>
      <c r="L4" s="95"/>
      <c r="M4" s="95"/>
      <c r="N4" s="94"/>
      <c r="O4" s="95"/>
      <c r="P4" s="95"/>
      <c r="Q4" s="100"/>
    </row>
    <row r="5" ht="15" customHeight="1" spans="1:20">
      <c r="A5" s="101" t="s">
        <v>10</v>
      </c>
      <c r="B5" s="102"/>
      <c r="C5" s="102"/>
      <c r="D5" s="103"/>
      <c r="E5" s="101"/>
      <c r="F5" s="103"/>
      <c r="G5" s="101"/>
      <c r="H5" s="102"/>
      <c r="I5" s="102"/>
      <c r="J5" s="103"/>
      <c r="K5" s="101"/>
      <c r="L5" s="102"/>
      <c r="M5" s="102"/>
      <c r="N5" s="101"/>
      <c r="O5" s="102"/>
      <c r="P5" s="102"/>
      <c r="Q5" s="103"/>
    </row>
    <row r="6" s="80" customFormat="1" ht="15" customHeight="1" spans="1:20">
      <c r="A6" s="87" t="s">
        <v>11</v>
      </c>
      <c r="B6" s="88"/>
      <c r="C6" s="89"/>
      <c r="D6" s="90"/>
      <c r="E6" s="91" t="s">
        <v>12</v>
      </c>
      <c r="F6" s="92"/>
      <c r="G6" s="87" t="s">
        <v>13</v>
      </c>
      <c r="H6" s="88"/>
      <c r="I6" s="88"/>
      <c r="J6" s="93"/>
      <c r="K6" s="104" t="s">
        <v>14</v>
      </c>
      <c r="L6" s="105"/>
      <c r="M6" s="105"/>
      <c r="N6" s="105"/>
      <c r="O6" s="105"/>
      <c r="P6" s="105"/>
      <c r="Q6" s="106"/>
    </row>
    <row r="7" ht="15" customHeight="1" spans="1:20">
      <c r="A7" s="107" t="s">
        <v>15</v>
      </c>
      <c r="B7" s="108"/>
      <c r="C7" s="108"/>
      <c r="D7" s="109"/>
      <c r="E7" s="101" t="s">
        <v>16</v>
      </c>
      <c r="F7" s="103"/>
      <c r="G7" s="101"/>
      <c r="H7" s="102"/>
      <c r="I7" s="102"/>
      <c r="J7" s="103"/>
      <c r="K7" s="110"/>
      <c r="L7" s="111"/>
      <c r="M7" s="111"/>
      <c r="N7" s="111"/>
      <c r="O7" s="111"/>
      <c r="P7" s="111"/>
      <c r="Q7" s="112"/>
    </row>
    <row r="8" s="80" customFormat="1" ht="15" customHeight="1" spans="1:20">
      <c r="A8" s="87" t="s">
        <v>17</v>
      </c>
      <c r="B8" s="88"/>
      <c r="C8" s="89"/>
      <c r="D8" s="90"/>
      <c r="E8" s="91" t="s">
        <v>18</v>
      </c>
      <c r="F8" s="113"/>
      <c r="G8" s="87" t="s">
        <v>19</v>
      </c>
      <c r="H8" s="88"/>
      <c r="I8" s="114"/>
      <c r="J8" s="113"/>
      <c r="K8" s="104" t="s">
        <v>20</v>
      </c>
      <c r="L8" s="105"/>
      <c r="M8" s="105"/>
      <c r="N8" s="105"/>
      <c r="O8" s="105"/>
      <c r="P8" s="105"/>
      <c r="Q8" s="106"/>
      <c r="T8" s="83"/>
    </row>
    <row r="9" ht="15" customHeight="1" spans="1:20">
      <c r="A9" s="101" t="s">
        <v>9</v>
      </c>
      <c r="B9" s="102"/>
      <c r="C9" s="102"/>
      <c r="D9" s="103"/>
      <c r="E9" s="115" t="s">
        <v>21</v>
      </c>
      <c r="F9" s="116"/>
      <c r="G9" s="115" t="s">
        <v>22</v>
      </c>
      <c r="H9" s="117"/>
      <c r="I9" s="117"/>
      <c r="J9" s="116"/>
      <c r="K9" s="110"/>
      <c r="L9" s="111"/>
      <c r="M9" s="111"/>
      <c r="N9" s="111"/>
      <c r="O9" s="111"/>
      <c r="P9" s="111"/>
      <c r="Q9" s="112"/>
    </row>
    <row r="10" s="80" customFormat="1" ht="15" customHeight="1" spans="1:20">
      <c r="A10" s="87" t="s">
        <v>23</v>
      </c>
      <c r="B10" s="88"/>
      <c r="C10" s="89"/>
      <c r="D10" s="90"/>
      <c r="E10" s="91" t="s">
        <v>24</v>
      </c>
      <c r="F10" s="92"/>
      <c r="G10" s="87" t="s">
        <v>25</v>
      </c>
      <c r="H10" s="88"/>
      <c r="I10" s="89"/>
      <c r="J10" s="90"/>
      <c r="K10" s="87" t="s">
        <v>26</v>
      </c>
      <c r="L10" s="89" t="s">
        <v>1</v>
      </c>
      <c r="M10" s="90"/>
      <c r="N10" s="87" t="s">
        <v>27</v>
      </c>
      <c r="O10" s="88"/>
      <c r="P10" s="89" t="s">
        <v>1</v>
      </c>
      <c r="Q10" s="90"/>
      <c r="T10" s="83"/>
    </row>
    <row r="11" ht="15" customHeight="1" spans="1:20">
      <c r="A11" s="101" t="s">
        <v>28</v>
      </c>
      <c r="B11" s="102"/>
      <c r="C11" s="102"/>
      <c r="D11" s="103"/>
      <c r="E11" s="118" t="s">
        <v>29</v>
      </c>
      <c r="F11" s="109"/>
      <c r="G11" s="118" t="s">
        <v>29</v>
      </c>
      <c r="H11" s="108"/>
      <c r="I11" s="108"/>
      <c r="J11" s="109"/>
      <c r="K11" s="101" t="s">
        <v>29</v>
      </c>
      <c r="L11" s="102"/>
      <c r="M11" s="103"/>
      <c r="N11" s="101"/>
      <c r="O11" s="102"/>
      <c r="P11" s="102"/>
      <c r="Q11" s="103"/>
    </row>
    <row r="12" s="80" customFormat="1" ht="15" customHeight="1" spans="1:20">
      <c r="A12" s="87" t="s">
        <v>30</v>
      </c>
      <c r="B12" s="88"/>
      <c r="C12" s="89"/>
      <c r="D12" s="90"/>
      <c r="E12" s="119" t="s">
        <v>31</v>
      </c>
      <c r="F12" s="119" t="s">
        <v>32</v>
      </c>
      <c r="G12" s="87" t="s">
        <v>33</v>
      </c>
      <c r="H12" s="93"/>
      <c r="I12" s="87" t="s">
        <v>34</v>
      </c>
      <c r="J12" s="93"/>
      <c r="K12" s="87" t="s">
        <v>35</v>
      </c>
      <c r="L12" s="88"/>
      <c r="M12" s="87" t="s">
        <v>36</v>
      </c>
      <c r="N12" s="88"/>
      <c r="O12" s="93"/>
      <c r="P12" s="87" t="s">
        <v>37</v>
      </c>
      <c r="Q12" s="93"/>
      <c r="T12" s="83"/>
    </row>
    <row r="13" ht="15" customHeight="1" spans="1:20">
      <c r="A13" s="101" t="s">
        <v>38</v>
      </c>
      <c r="B13" s="102"/>
      <c r="C13" s="102"/>
      <c r="D13" s="103"/>
      <c r="E13" s="120">
        <v>60</v>
      </c>
      <c r="F13" s="120">
        <v>832.8</v>
      </c>
      <c r="G13" s="101">
        <v>790.8</v>
      </c>
      <c r="H13" s="103"/>
      <c r="I13" s="121" t="s">
        <v>39</v>
      </c>
      <c r="J13" s="103"/>
      <c r="K13" s="122"/>
      <c r="L13" s="123"/>
      <c r="M13" s="101"/>
      <c r="N13" s="102"/>
      <c r="O13" s="103"/>
      <c r="P13" s="101"/>
      <c r="Q13" s="103"/>
    </row>
    <row r="14" s="80" customFormat="1" ht="15" customHeight="1" spans="1:20">
      <c r="A14" s="87" t="s">
        <v>40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93"/>
      <c r="T14" s="83"/>
    </row>
    <row r="15" s="81" customFormat="1" ht="15" customHeight="1" spans="1:20">
      <c r="A15" s="124" t="s">
        <v>41</v>
      </c>
      <c r="B15" s="125"/>
      <c r="C15" s="125"/>
      <c r="D15" s="125"/>
      <c r="E15" s="125"/>
      <c r="F15" s="125"/>
      <c r="G15" s="125"/>
      <c r="H15" s="125" t="s">
        <v>42</v>
      </c>
      <c r="I15" s="125"/>
      <c r="J15" s="125"/>
      <c r="K15" s="125"/>
      <c r="L15" s="125"/>
      <c r="M15" s="125"/>
      <c r="N15" s="125"/>
      <c r="O15" s="125"/>
      <c r="P15" s="125"/>
      <c r="Q15" s="126"/>
      <c r="T15" s="83"/>
    </row>
    <row r="16" s="80" customFormat="1" ht="15" customHeight="1" spans="1:20">
      <c r="A16" s="91" t="s">
        <v>43</v>
      </c>
      <c r="B16" s="127"/>
      <c r="C16" s="128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9"/>
      <c r="T16" s="83"/>
    </row>
    <row r="17" ht="16.5" customHeight="1" spans="1:20">
      <c r="A17" s="101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</row>
    <row r="18" s="82" customFormat="1" ht="18.75" customHeight="1" spans="1:20">
      <c r="A18" s="130" t="s">
        <v>44</v>
      </c>
      <c r="B18" s="131" t="s">
        <v>45</v>
      </c>
      <c r="C18" s="131"/>
      <c r="D18" s="131" t="s">
        <v>46</v>
      </c>
      <c r="E18" s="131"/>
      <c r="F18" s="131"/>
      <c r="G18" s="131" t="s">
        <v>47</v>
      </c>
      <c r="H18" s="131" t="s">
        <v>48</v>
      </c>
      <c r="I18" s="131"/>
      <c r="J18" s="131"/>
      <c r="K18" s="131" t="s">
        <v>49</v>
      </c>
      <c r="L18" s="131" t="s">
        <v>50</v>
      </c>
      <c r="M18" s="131"/>
      <c r="N18" s="131" t="s">
        <v>51</v>
      </c>
      <c r="O18" s="131"/>
      <c r="P18" s="131"/>
      <c r="Q18" s="132" t="s">
        <v>52</v>
      </c>
      <c r="T18" s="83"/>
    </row>
    <row r="19" s="83" customFormat="1" spans="1:20">
      <c r="A19" s="133">
        <v>1</v>
      </c>
      <c r="B19" s="134">
        <v>8523591000</v>
      </c>
      <c r="C19" s="134"/>
      <c r="D19" s="134" t="s">
        <v>53</v>
      </c>
      <c r="E19" s="134"/>
      <c r="F19" s="134"/>
      <c r="G19" s="134" t="s">
        <v>54</v>
      </c>
      <c r="H19" s="135" t="s">
        <v>55</v>
      </c>
      <c r="I19" s="136">
        <v>9900</v>
      </c>
      <c r="J19" s="137" t="s">
        <v>56</v>
      </c>
      <c r="K19" s="138" t="s">
        <v>57</v>
      </c>
      <c r="L19" s="139" t="s">
        <v>58</v>
      </c>
      <c r="M19" s="139"/>
      <c r="N19" s="134" t="s">
        <v>59</v>
      </c>
      <c r="O19" s="134"/>
      <c r="P19" s="134"/>
      <c r="Q19" s="140" t="s">
        <v>60</v>
      </c>
      <c r="R19" s="141"/>
    </row>
    <row r="20" s="83" customFormat="1" spans="1:20">
      <c r="A20" s="142"/>
      <c r="B20" s="143"/>
      <c r="C20" s="143"/>
      <c r="D20" s="144" t="s">
        <v>61</v>
      </c>
      <c r="E20" s="144"/>
      <c r="F20" s="144"/>
      <c r="G20" s="145" t="s">
        <v>62</v>
      </c>
      <c r="H20" s="146"/>
      <c r="I20" s="146"/>
      <c r="J20" s="147"/>
      <c r="K20" s="148"/>
      <c r="L20" s="143"/>
      <c r="M20" s="143"/>
      <c r="N20" s="143"/>
      <c r="O20" s="143"/>
      <c r="P20" s="143"/>
      <c r="Q20" s="149"/>
      <c r="R20" s="141"/>
    </row>
    <row r="21" s="83" customFormat="1" ht="39" customHeight="1" spans="1:20">
      <c r="A21" s="142"/>
      <c r="B21" s="143"/>
      <c r="C21" s="143"/>
      <c r="D21" s="144"/>
      <c r="E21" s="144"/>
      <c r="F21" s="144"/>
      <c r="G21" s="150"/>
      <c r="H21" s="151"/>
      <c r="I21" s="151"/>
      <c r="J21" s="151"/>
      <c r="K21" s="152"/>
      <c r="L21" s="143"/>
      <c r="M21" s="143"/>
      <c r="N21" s="143"/>
      <c r="O21" s="143"/>
      <c r="P21" s="143"/>
      <c r="Q21" s="153"/>
      <c r="R21" s="141"/>
    </row>
    <row r="22" s="83" customFormat="1" spans="1:20">
      <c r="A22" s="133"/>
      <c r="B22" s="134"/>
      <c r="C22" s="134"/>
      <c r="D22" s="134"/>
      <c r="E22" s="134"/>
      <c r="F22" s="134"/>
      <c r="G22" s="134"/>
      <c r="H22" s="135"/>
      <c r="I22" s="136"/>
      <c r="J22" s="137"/>
      <c r="K22" s="138"/>
      <c r="L22" s="139"/>
      <c r="M22" s="139"/>
      <c r="N22" s="134"/>
      <c r="O22" s="134"/>
      <c r="P22" s="134"/>
      <c r="Q22" s="140"/>
      <c r="R22" s="141"/>
    </row>
    <row r="23" s="83" customFormat="1" spans="1:20">
      <c r="A23" s="142"/>
      <c r="B23" s="143"/>
      <c r="C23" s="143"/>
      <c r="D23" s="144"/>
      <c r="E23" s="144"/>
      <c r="F23" s="144"/>
      <c r="G23" s="145"/>
      <c r="H23" s="146"/>
      <c r="I23" s="146"/>
      <c r="J23" s="147"/>
      <c r="K23" s="148"/>
      <c r="L23" s="143"/>
      <c r="M23" s="143"/>
      <c r="N23" s="143"/>
      <c r="O23" s="143"/>
      <c r="P23" s="143"/>
      <c r="Q23" s="149"/>
      <c r="R23" s="141"/>
    </row>
    <row r="24" s="83" customFormat="1" ht="40" customHeight="1" spans="1:20">
      <c r="A24" s="142"/>
      <c r="B24" s="143"/>
      <c r="C24" s="143"/>
      <c r="D24" s="144"/>
      <c r="E24" s="144"/>
      <c r="F24" s="144"/>
      <c r="G24" s="150"/>
      <c r="H24" s="151"/>
      <c r="I24" s="151"/>
      <c r="J24" s="151"/>
      <c r="K24" s="152"/>
      <c r="L24" s="143"/>
      <c r="M24" s="143"/>
      <c r="N24" s="143"/>
      <c r="O24" s="143"/>
      <c r="P24" s="143"/>
      <c r="Q24" s="153"/>
      <c r="R24" s="141"/>
    </row>
    <row r="25" s="83" customFormat="1" spans="1:20">
      <c r="A25" s="133"/>
      <c r="B25" s="134"/>
      <c r="C25" s="134"/>
      <c r="D25" s="134"/>
      <c r="E25" s="134"/>
      <c r="F25" s="134"/>
      <c r="G25" s="134"/>
      <c r="H25" s="136"/>
      <c r="I25" s="136"/>
      <c r="J25" s="137"/>
      <c r="K25" s="138"/>
      <c r="L25" s="139"/>
      <c r="M25" s="139"/>
      <c r="N25" s="134"/>
      <c r="O25" s="134"/>
      <c r="P25" s="134"/>
      <c r="Q25" s="140"/>
      <c r="R25" s="141"/>
    </row>
    <row r="26" s="83" customFormat="1" spans="1:20">
      <c r="A26" s="142"/>
      <c r="B26" s="143"/>
      <c r="C26" s="143"/>
      <c r="D26" s="144"/>
      <c r="E26" s="144"/>
      <c r="F26" s="144"/>
      <c r="G26" s="145"/>
      <c r="H26" s="146"/>
      <c r="I26" s="146"/>
      <c r="J26" s="147"/>
      <c r="K26" s="148"/>
      <c r="L26" s="143"/>
      <c r="M26" s="143"/>
      <c r="N26" s="143"/>
      <c r="O26" s="143"/>
      <c r="P26" s="143"/>
      <c r="Q26" s="149"/>
      <c r="R26" s="141"/>
    </row>
    <row r="27" s="83" customFormat="1" ht="42" customHeight="1" spans="1:20">
      <c r="A27" s="142"/>
      <c r="B27" s="143"/>
      <c r="C27" s="143"/>
      <c r="D27" s="144"/>
      <c r="E27" s="144"/>
      <c r="F27" s="144"/>
      <c r="G27" s="150"/>
      <c r="H27" s="151"/>
      <c r="I27" s="151"/>
      <c r="J27" s="151"/>
      <c r="K27" s="152"/>
      <c r="L27" s="143"/>
      <c r="M27" s="143"/>
      <c r="N27" s="143"/>
      <c r="O27" s="143"/>
      <c r="P27" s="143"/>
      <c r="Q27" s="153"/>
      <c r="R27" s="141"/>
    </row>
    <row r="28" s="80" customFormat="1" ht="16.5" customHeight="1" spans="1:20">
      <c r="A28" s="154"/>
      <c r="B28" s="155"/>
      <c r="C28" s="155"/>
      <c r="D28" s="156" t="s">
        <v>63</v>
      </c>
      <c r="E28" s="155"/>
      <c r="F28" s="155"/>
      <c r="G28" s="155" t="s">
        <v>64</v>
      </c>
      <c r="H28" s="155"/>
      <c r="I28" s="155"/>
      <c r="J28" s="156" t="s">
        <v>65</v>
      </c>
      <c r="K28" s="156"/>
      <c r="L28" s="156"/>
      <c r="M28" s="155"/>
      <c r="N28" s="155"/>
      <c r="O28" s="156" t="s">
        <v>66</v>
      </c>
      <c r="P28" s="156"/>
      <c r="Q28" s="157"/>
    </row>
    <row r="29" ht="15.75" customHeight="1" spans="1:20">
      <c r="A29" s="87" t="s">
        <v>67</v>
      </c>
      <c r="B29" s="88"/>
      <c r="C29" s="88"/>
      <c r="D29" s="88"/>
      <c r="E29" s="88"/>
      <c r="F29" s="88"/>
      <c r="G29" s="88" t="s">
        <v>68</v>
      </c>
      <c r="H29" s="88"/>
      <c r="I29" s="88"/>
      <c r="J29" s="88"/>
      <c r="K29" s="88"/>
      <c r="L29" s="93"/>
      <c r="M29" s="87" t="s">
        <v>69</v>
      </c>
      <c r="N29" s="88"/>
      <c r="O29" s="88"/>
      <c r="P29" s="88"/>
      <c r="Q29" s="93"/>
    </row>
    <row r="30" ht="15.75" customHeight="1" spans="1:20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158"/>
      <c r="N30" s="159"/>
      <c r="O30" s="159"/>
      <c r="P30" s="159"/>
      <c r="Q30" s="160"/>
    </row>
    <row r="31" ht="15.75" customHeight="1" spans="1:20">
      <c r="A31" s="161" t="s">
        <v>70</v>
      </c>
      <c r="B31" s="162"/>
      <c r="C31" s="163"/>
      <c r="D31" s="163"/>
      <c r="E31" s="163"/>
      <c r="F31" s="163"/>
      <c r="G31" s="163"/>
      <c r="H31" s="162"/>
      <c r="I31" s="162"/>
      <c r="J31" s="163" t="s">
        <v>71</v>
      </c>
      <c r="K31" s="163"/>
      <c r="L31" s="162"/>
      <c r="M31" s="101"/>
      <c r="N31" s="102"/>
      <c r="O31" s="102"/>
      <c r="P31" s="102"/>
      <c r="Q31" s="103"/>
    </row>
    <row r="32" ht="16.5" customHeight="1" spans="1:20">
      <c r="A32" s="164" t="s">
        <v>72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</row>
  </sheetData>
  <mergeCells count="98">
    <mergeCell ref="A1:Q1"/>
    <mergeCell ref="A2:B2"/>
    <mergeCell ref="C2:D2"/>
    <mergeCell ref="F2:J2"/>
    <mergeCell ref="K2:Q2"/>
    <mergeCell ref="A3:B3"/>
    <mergeCell ref="C3:D3"/>
    <mergeCell ref="G3:J3"/>
    <mergeCell ref="K3:M3"/>
    <mergeCell ref="N3:Q3"/>
    <mergeCell ref="E5:F5"/>
    <mergeCell ref="G5:J5"/>
    <mergeCell ref="K5:M5"/>
    <mergeCell ref="N5:Q5"/>
    <mergeCell ref="A6:B6"/>
    <mergeCell ref="C6:D6"/>
    <mergeCell ref="G6:J6"/>
    <mergeCell ref="A7:D7"/>
    <mergeCell ref="E7:F7"/>
    <mergeCell ref="G7:J7"/>
    <mergeCell ref="A8:B8"/>
    <mergeCell ref="C8:D8"/>
    <mergeCell ref="G8:H8"/>
    <mergeCell ref="I8:J8"/>
    <mergeCell ref="A9:D9"/>
    <mergeCell ref="E9:F9"/>
    <mergeCell ref="G9:J9"/>
    <mergeCell ref="A10:B10"/>
    <mergeCell ref="C10:D10"/>
    <mergeCell ref="G10:H10"/>
    <mergeCell ref="I10:J10"/>
    <mergeCell ref="L10:M10"/>
    <mergeCell ref="N10:O10"/>
    <mergeCell ref="P10:Q10"/>
    <mergeCell ref="A11:D11"/>
    <mergeCell ref="E11:F11"/>
    <mergeCell ref="G11:J11"/>
    <mergeCell ref="K11:M11"/>
    <mergeCell ref="N11:Q11"/>
    <mergeCell ref="A12:B12"/>
    <mergeCell ref="C12:D12"/>
    <mergeCell ref="G12:H12"/>
    <mergeCell ref="K12:L12"/>
    <mergeCell ref="M12:O12"/>
    <mergeCell ref="P12:Q12"/>
    <mergeCell ref="A13:D13"/>
    <mergeCell ref="G13:H13"/>
    <mergeCell ref="K13:L13"/>
    <mergeCell ref="M13:O13"/>
    <mergeCell ref="P13:Q13"/>
    <mergeCell ref="A14:Q14"/>
    <mergeCell ref="A15:G15"/>
    <mergeCell ref="H15:Q15"/>
    <mergeCell ref="A17:Q17"/>
    <mergeCell ref="B18:C18"/>
    <mergeCell ref="D18:F18"/>
    <mergeCell ref="H18:J18"/>
    <mergeCell ref="L18:M18"/>
    <mergeCell ref="N18:P18"/>
    <mergeCell ref="B19:C19"/>
    <mergeCell ref="D19:F19"/>
    <mergeCell ref="L19:M19"/>
    <mergeCell ref="N19:P19"/>
    <mergeCell ref="B21:C21"/>
    <mergeCell ref="H21:J21"/>
    <mergeCell ref="L21:M21"/>
    <mergeCell ref="N21:P21"/>
    <mergeCell ref="B22:C22"/>
    <mergeCell ref="D22:F22"/>
    <mergeCell ref="L22:M22"/>
    <mergeCell ref="N22:P22"/>
    <mergeCell ref="B24:C24"/>
    <mergeCell ref="H24:J24"/>
    <mergeCell ref="L24:M24"/>
    <mergeCell ref="N24:P24"/>
    <mergeCell ref="B25:C25"/>
    <mergeCell ref="D25:F25"/>
    <mergeCell ref="L25:M25"/>
    <mergeCell ref="N25:P25"/>
    <mergeCell ref="B27:C27"/>
    <mergeCell ref="H27:J27"/>
    <mergeCell ref="L27:M27"/>
    <mergeCell ref="N27:P27"/>
    <mergeCell ref="J28:L28"/>
    <mergeCell ref="O28:P28"/>
    <mergeCell ref="A29:F29"/>
    <mergeCell ref="G29:L29"/>
    <mergeCell ref="M29:Q29"/>
    <mergeCell ref="A31:B31"/>
    <mergeCell ref="C31:G31"/>
    <mergeCell ref="J31:K31"/>
    <mergeCell ref="A32:Q32"/>
    <mergeCell ref="K6:Q7"/>
    <mergeCell ref="K8:Q9"/>
    <mergeCell ref="D20:F21"/>
    <mergeCell ref="D23:F24"/>
    <mergeCell ref="D26:F27"/>
    <mergeCell ref="M30:Q31"/>
  </mergeCells>
  <pageMargins left="0.708333333333333" right="0.708333333333333" top="0.747916666666667" bottom="0.747916666666667" header="0.314583333333333" footer="0.314583333333333"/>
  <pageSetup paperSize="9" orientation="landscape"/>
  <headerFooter/>
  <colBreaks count="1" manualBreakCount="1">
    <brk id="1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41"/>
  <sheetViews>
    <sheetView workbookViewId="0">
      <selection activeCell="A15" sqref="A15"/>
    </sheetView>
  </sheetViews>
  <sheetFormatPr defaultColWidth="9" defaultRowHeight="13.5"/>
  <cols>
    <col min="1" max="1" width="67.3833333333333" style="41" customWidth="1"/>
    <col min="2" max="16384" width="9" style="41"/>
  </cols>
  <sheetData>
    <row r="1" s="41" customFormat="1" spans="1:1">
      <c r="A1" s="74" t="s">
        <v>73</v>
      </c>
    </row>
    <row r="2" s="41" customFormat="1" spans="1:1">
      <c r="A2" s="74"/>
    </row>
    <row r="3" s="41" customFormat="1" spans="1:1">
      <c r="A3" s="74"/>
    </row>
    <row r="4" s="41" customFormat="1" spans="1:1">
      <c r="A4" s="74" t="s">
        <v>74</v>
      </c>
    </row>
    <row r="5" s="41" customFormat="1" spans="1:1">
      <c r="A5" s="75" t="s">
        <v>75</v>
      </c>
    </row>
    <row r="6" s="41" customFormat="1" spans="1:1">
      <c r="A6" s="76" t="s">
        <v>76</v>
      </c>
    </row>
    <row r="7" s="41" customFormat="1" spans="1:1">
      <c r="A7" s="76" t="s">
        <v>77</v>
      </c>
    </row>
    <row r="8" s="41" customFormat="1" spans="1:1">
      <c r="A8" s="76" t="s">
        <v>78</v>
      </c>
    </row>
    <row r="9" s="41" customFormat="1" spans="1:1">
      <c r="A9" s="76" t="s">
        <v>79</v>
      </c>
    </row>
    <row r="10" s="41" customFormat="1" spans="1:1">
      <c r="A10" s="76" t="s">
        <v>80</v>
      </c>
    </row>
    <row r="11" s="41" customFormat="1" ht="14.25" spans="1:1">
      <c r="A11" s="77" t="s">
        <v>81</v>
      </c>
    </row>
    <row r="12" s="41" customFormat="1" ht="14.25" spans="1:1">
      <c r="A12" s="77" t="s">
        <v>82</v>
      </c>
    </row>
    <row r="13" s="41" customFormat="1" ht="14.25" spans="1:1">
      <c r="A13" s="78"/>
    </row>
    <row r="14" s="41" customFormat="1" ht="14.25" spans="1:1">
      <c r="A14" s="77"/>
    </row>
    <row r="15" ht="14.25" spans="1:1">
      <c r="A15" s="77"/>
    </row>
    <row r="16" s="41" customFormat="1" spans="1:1">
      <c r="A16"/>
    </row>
    <row r="17" s="41" customFormat="1" spans="1:1">
      <c r="A17" s="74"/>
    </row>
    <row r="18" s="41" customFormat="1" spans="1:1">
      <c r="A18" s="75"/>
    </row>
    <row r="19" s="41" customFormat="1" spans="1:1">
      <c r="A19" s="76"/>
    </row>
    <row r="20" s="41" customFormat="1" spans="1:1">
      <c r="A20" s="76"/>
    </row>
    <row r="21" s="41" customFormat="1" spans="1:1">
      <c r="A21" s="76"/>
    </row>
    <row r="22" s="41" customFormat="1" spans="1:1">
      <c r="A22" s="76"/>
    </row>
    <row r="23" s="41" customFormat="1" spans="1:1">
      <c r="A23" s="76"/>
    </row>
    <row r="24" s="41" customFormat="1" ht="14.25" spans="1:1">
      <c r="A24" s="77"/>
    </row>
    <row r="25" s="41" customFormat="1" ht="14.25" spans="1:1">
      <c r="A25" s="77"/>
    </row>
    <row r="26" s="41" customFormat="1" ht="14.25" spans="1:1">
      <c r="A26" s="78"/>
    </row>
    <row r="27" s="41" customFormat="1" ht="14.25" spans="1:1">
      <c r="A27" s="77"/>
    </row>
    <row r="28" ht="14.25" spans="1:1">
      <c r="A28" s="77"/>
    </row>
    <row r="29" spans="1:1">
      <c r="A29"/>
    </row>
    <row r="30" spans="1:1">
      <c r="A30" s="74"/>
    </row>
    <row r="31" spans="1:1">
      <c r="A31" s="74"/>
    </row>
    <row r="32" spans="1:1">
      <c r="A32" s="75"/>
    </row>
    <row r="33" spans="1:1">
      <c r="A33" s="76"/>
    </row>
    <row r="34" spans="1:1">
      <c r="A34" s="76"/>
    </row>
    <row r="35" spans="1:1">
      <c r="A35" s="76"/>
    </row>
    <row r="36" spans="1:1">
      <c r="A36" s="76"/>
    </row>
    <row r="37" spans="1:1">
      <c r="A37" s="76"/>
    </row>
    <row r="38" ht="14.25" spans="1:1">
      <c r="A38" s="77"/>
    </row>
    <row r="39" ht="14.25" spans="1:1">
      <c r="A39" s="77"/>
    </row>
    <row r="40" ht="14.25" spans="1:1">
      <c r="A40" s="78"/>
    </row>
    <row r="41" ht="14.25" spans="1:1">
      <c r="A41" s="77"/>
    </row>
  </sheetData>
  <pageMargins left="0.75" right="0.75" top="1" bottom="1" header="0.5" footer="0.5"/>
  <pageSetup paperSize="9" scale="8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opLeftCell="A5" workbookViewId="0">
      <selection activeCell="A3" sqref="A3"/>
    </sheetView>
  </sheetViews>
  <sheetFormatPr defaultColWidth="9" defaultRowHeight="13.5"/>
  <cols>
    <col min="1" max="1" width="47.625" customWidth="1"/>
    <col min="2" max="2" width="7.625" customWidth="1"/>
    <col min="3" max="4" width="4.625" customWidth="1"/>
    <col min="5" max="5" width="8.625" customWidth="1"/>
    <col min="6" max="6" width="4.625" customWidth="1"/>
    <col min="7" max="7" width="11.625" customWidth="1"/>
  </cols>
  <sheetData>
    <row r="1" ht="47.45" customHeight="1" spans="1:11">
      <c r="A1" s="1" t="s">
        <v>83</v>
      </c>
      <c r="B1" s="58" t="s">
        <v>84</v>
      </c>
      <c r="C1" s="58"/>
      <c r="D1" s="58"/>
      <c r="E1" s="58"/>
      <c r="F1" s="58"/>
      <c r="G1" s="59"/>
    </row>
    <row r="2" ht="47.45" customHeight="1" spans="1:11">
      <c r="A2" s="5" t="s">
        <v>85</v>
      </c>
      <c r="B2" s="58"/>
      <c r="C2" s="58"/>
      <c r="D2" s="58"/>
      <c r="E2" s="58"/>
      <c r="F2" s="58"/>
      <c r="G2" s="59"/>
    </row>
    <row r="3" ht="47.45" customHeight="1" spans="1:11">
      <c r="A3" s="6" t="s">
        <v>86</v>
      </c>
      <c r="B3" s="59"/>
      <c r="C3" s="59"/>
      <c r="D3" s="59"/>
      <c r="E3" s="59"/>
      <c r="F3" s="59"/>
      <c r="G3" s="59"/>
    </row>
    <row r="4" ht="47.45" customHeight="1" spans="1:11">
      <c r="A4" s="8" t="s">
        <v>87</v>
      </c>
      <c r="B4" s="9" t="s">
        <v>88</v>
      </c>
      <c r="C4" s="10"/>
      <c r="D4" s="11"/>
      <c r="E4" s="9" t="s">
        <v>89</v>
      </c>
      <c r="F4" s="12"/>
      <c r="G4" s="13"/>
    </row>
    <row r="5" ht="20.1" customHeight="1" spans="1:11">
      <c r="A5" s="14" t="s">
        <v>90</v>
      </c>
      <c r="B5" s="15" t="s">
        <v>91</v>
      </c>
      <c r="C5" s="16"/>
      <c r="D5" s="16"/>
      <c r="E5" s="16"/>
      <c r="F5" s="16"/>
      <c r="G5" s="17"/>
    </row>
    <row r="6" ht="20.1" customHeight="1" spans="1:11">
      <c r="A6" s="18" t="s">
        <v>92</v>
      </c>
      <c r="B6" s="19"/>
      <c r="C6" s="20"/>
      <c r="D6" s="20"/>
      <c r="E6" s="20"/>
      <c r="F6" s="20"/>
      <c r="G6" s="21"/>
    </row>
    <row r="7" ht="20.1" customHeight="1" spans="1:11">
      <c r="A7" s="22" t="s">
        <v>93</v>
      </c>
      <c r="B7" s="23"/>
      <c r="C7" s="24"/>
      <c r="D7" s="24"/>
      <c r="E7" s="24"/>
      <c r="F7" s="24"/>
      <c r="G7" s="25"/>
    </row>
    <row r="8" ht="24.95" customHeight="1" spans="1:11">
      <c r="A8" s="60" t="s">
        <v>94</v>
      </c>
      <c r="B8" s="61" t="s">
        <v>95</v>
      </c>
      <c r="C8" s="62"/>
      <c r="D8" s="61" t="s">
        <v>96</v>
      </c>
      <c r="E8" s="62"/>
      <c r="F8" s="63" t="s">
        <v>97</v>
      </c>
      <c r="G8" s="64"/>
    </row>
    <row r="9" ht="21.95" customHeight="1" spans="1:11">
      <c r="A9" s="65"/>
      <c r="B9" s="66"/>
      <c r="C9" s="67" t="s">
        <v>98</v>
      </c>
      <c r="D9" s="67"/>
      <c r="E9" s="67"/>
      <c r="F9" s="67" t="s">
        <v>99</v>
      </c>
      <c r="G9" s="68"/>
    </row>
    <row r="10" ht="21.95" customHeight="1" spans="1:11">
      <c r="A10" s="69" t="s">
        <v>100</v>
      </c>
      <c r="B10" s="70">
        <v>60000</v>
      </c>
      <c r="C10" s="50" t="s">
        <v>101</v>
      </c>
      <c r="D10" s="70" t="s">
        <v>56</v>
      </c>
      <c r="E10" s="50">
        <v>0.165</v>
      </c>
      <c r="F10" s="70" t="s">
        <v>56</v>
      </c>
      <c r="G10" s="51">
        <f>B10*E10</f>
        <v>9900</v>
      </c>
    </row>
    <row r="11" ht="21.95" customHeight="1" spans="1:11">
      <c r="A11" s="37"/>
      <c r="B11" s="38"/>
      <c r="C11" s="38"/>
      <c r="D11" s="38"/>
      <c r="E11" s="38"/>
      <c r="F11" s="38"/>
      <c r="G11" s="40"/>
    </row>
    <row r="12" ht="21.95" customHeight="1" spans="1:11">
      <c r="A12" s="71"/>
      <c r="B12" s="72"/>
      <c r="C12" s="72"/>
      <c r="D12" s="72"/>
      <c r="E12" s="72"/>
      <c r="F12" s="38"/>
      <c r="G12" s="40"/>
      <c r="K12" s="41"/>
    </row>
    <row r="13" ht="21.95" customHeight="1" spans="1:11">
      <c r="A13" s="37"/>
      <c r="B13" s="38"/>
      <c r="C13" s="38"/>
      <c r="D13" s="38"/>
      <c r="E13" s="38"/>
      <c r="F13" s="38"/>
      <c r="G13" s="40"/>
    </row>
    <row r="14" ht="21.95" customHeight="1" spans="1:11">
      <c r="A14" s="37"/>
      <c r="B14" s="38"/>
      <c r="C14" s="38"/>
      <c r="D14" s="38"/>
      <c r="E14" s="38"/>
      <c r="F14" s="38"/>
      <c r="G14" s="40"/>
    </row>
    <row r="15" ht="21.95" customHeight="1" spans="1:11">
      <c r="A15" s="37"/>
      <c r="B15" s="38"/>
      <c r="C15" s="38"/>
      <c r="D15" s="38"/>
      <c r="E15" s="38"/>
      <c r="F15" s="38"/>
      <c r="G15" s="40"/>
    </row>
    <row r="16" ht="21.95" customHeight="1" spans="1:11">
      <c r="A16" s="42"/>
      <c r="B16" s="43"/>
      <c r="C16" s="43"/>
      <c r="D16" s="43"/>
      <c r="E16" s="43"/>
      <c r="F16" s="43"/>
      <c r="G16" s="45"/>
    </row>
    <row r="17" ht="21.95" customHeight="1" spans="1:7">
      <c r="A17" s="46" t="s">
        <v>102</v>
      </c>
      <c r="B17" s="47">
        <f>SUM(B10:B16)</f>
        <v>60000</v>
      </c>
      <c r="C17" s="48" t="s">
        <v>101</v>
      </c>
      <c r="D17" s="66"/>
      <c r="E17" s="66"/>
      <c r="F17" s="47" t="s">
        <v>56</v>
      </c>
      <c r="G17" s="73">
        <f>SUM(G10:G16)</f>
        <v>9900</v>
      </c>
    </row>
    <row r="18" ht="21.95" customHeight="1" spans="1:7">
      <c r="A18" s="49" t="s">
        <v>103</v>
      </c>
      <c r="B18" s="50"/>
      <c r="C18" s="50"/>
      <c r="D18" s="50"/>
      <c r="E18" s="50"/>
      <c r="F18" s="50"/>
      <c r="G18" s="51"/>
    </row>
    <row r="19" ht="21.95" customHeight="1" spans="1:7">
      <c r="A19" s="49" t="s">
        <v>104</v>
      </c>
      <c r="B19" s="50"/>
      <c r="C19" s="50"/>
      <c r="D19" s="50"/>
      <c r="E19" s="50"/>
      <c r="F19" s="50"/>
      <c r="G19" s="51"/>
    </row>
    <row r="20" ht="21.95" customHeight="1" spans="1:7">
      <c r="A20" s="52" t="s">
        <v>105</v>
      </c>
      <c r="B20" s="53"/>
      <c r="C20" s="53"/>
      <c r="D20" s="53"/>
      <c r="E20" s="53"/>
      <c r="F20" s="53"/>
      <c r="G20" s="54"/>
    </row>
    <row r="21" spans="1:7">
      <c r="A21" s="52"/>
      <c r="B21" s="53"/>
      <c r="C21" s="53"/>
      <c r="D21" s="53"/>
      <c r="E21" s="53"/>
      <c r="F21" s="53"/>
      <c r="G21" s="54"/>
    </row>
    <row r="22" spans="1:7">
      <c r="A22" s="52"/>
      <c r="B22" s="53"/>
      <c r="C22" s="53"/>
      <c r="D22" s="53"/>
      <c r="E22" s="53"/>
      <c r="F22" s="53"/>
      <c r="G22" s="54"/>
    </row>
    <row r="23" spans="1:7">
      <c r="A23" s="52"/>
      <c r="B23" s="53"/>
      <c r="C23" s="53"/>
      <c r="D23" s="53"/>
      <c r="E23" s="53"/>
      <c r="F23" s="53"/>
      <c r="G23" s="54"/>
    </row>
    <row r="24" spans="1:7">
      <c r="A24" s="52"/>
      <c r="B24" s="53"/>
      <c r="C24" s="53"/>
      <c r="D24" s="53"/>
      <c r="E24" s="53"/>
      <c r="F24" s="53"/>
      <c r="G24" s="54"/>
    </row>
    <row r="25" spans="1:7">
      <c r="A25" s="52"/>
      <c r="B25" s="53"/>
      <c r="C25" s="53"/>
      <c r="D25" s="53"/>
      <c r="E25" s="53"/>
      <c r="F25" s="53"/>
      <c r="G25" s="54"/>
    </row>
    <row r="26" spans="1:7">
      <c r="A26" s="52"/>
      <c r="B26" s="53"/>
      <c r="C26" s="53"/>
      <c r="D26" s="53"/>
      <c r="E26" s="53"/>
      <c r="F26" s="53"/>
      <c r="G26" s="54"/>
    </row>
    <row r="27" spans="1:7">
      <c r="A27" s="52"/>
      <c r="B27" s="53"/>
      <c r="C27" s="53"/>
      <c r="D27" s="53"/>
      <c r="E27" s="53"/>
      <c r="F27" s="53"/>
      <c r="G27" s="54"/>
    </row>
    <row r="28" spans="1:7">
      <c r="A28" s="52"/>
      <c r="B28" s="53"/>
      <c r="C28" s="53"/>
      <c r="D28" s="53"/>
      <c r="E28" s="53"/>
      <c r="F28" s="53"/>
      <c r="G28" s="54"/>
    </row>
    <row r="29" spans="1:7">
      <c r="A29" s="52"/>
      <c r="B29" s="53"/>
      <c r="C29" s="53"/>
      <c r="D29" s="53"/>
      <c r="E29" s="53"/>
      <c r="F29" s="53"/>
      <c r="G29" s="54"/>
    </row>
    <row r="30" spans="1:7">
      <c r="A30" s="52"/>
      <c r="B30" s="53"/>
      <c r="C30" s="53"/>
      <c r="D30" s="53"/>
      <c r="E30" s="53"/>
      <c r="F30" s="53"/>
      <c r="G30" s="54"/>
    </row>
    <row r="31" spans="1:7">
      <c r="A31" s="52"/>
      <c r="B31" s="53"/>
      <c r="C31" s="53"/>
      <c r="D31" s="53"/>
      <c r="E31" s="53"/>
      <c r="F31" s="53"/>
      <c r="G31" s="54"/>
    </row>
    <row r="32" spans="1:7">
      <c r="A32" s="55"/>
      <c r="B32" s="56"/>
      <c r="C32" s="56"/>
      <c r="D32" s="56"/>
      <c r="E32" s="56"/>
      <c r="F32" s="56"/>
      <c r="G32" s="57"/>
    </row>
  </sheetData>
  <mergeCells count="13">
    <mergeCell ref="B4:D4"/>
    <mergeCell ref="E4:G4"/>
    <mergeCell ref="B8:C8"/>
    <mergeCell ref="D8:E8"/>
    <mergeCell ref="F8:G8"/>
    <mergeCell ref="C9:E9"/>
    <mergeCell ref="F9:G9"/>
    <mergeCell ref="A12:E12"/>
    <mergeCell ref="A18:G18"/>
    <mergeCell ref="A19:G19"/>
    <mergeCell ref="B1:G3"/>
    <mergeCell ref="B5:G7"/>
    <mergeCell ref="A20:G3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G11" sqref="G11"/>
    </sheetView>
  </sheetViews>
  <sheetFormatPr defaultColWidth="9" defaultRowHeight="13.5"/>
  <cols>
    <col min="1" max="1" width="38.625" customWidth="1"/>
    <col min="2" max="2" width="6.375" customWidth="1"/>
    <col min="3" max="3" width="4.125" customWidth="1"/>
    <col min="4" max="4" width="4.625" customWidth="1"/>
    <col min="5" max="5" width="8.625" customWidth="1"/>
    <col min="6" max="6" width="6.625" customWidth="1"/>
    <col min="7" max="7" width="4.125" customWidth="1"/>
    <col min="8" max="8" width="6.625" customWidth="1"/>
    <col min="9" max="9" width="4.125" customWidth="1"/>
    <col min="10" max="10" width="4.875" customWidth="1"/>
    <col min="11" max="11" width="4.125" customWidth="1"/>
  </cols>
  <sheetData>
    <row r="1" ht="47.45" customHeight="1" spans="1:16">
      <c r="A1" s="1" t="s">
        <v>83</v>
      </c>
      <c r="B1" s="2" t="s">
        <v>106</v>
      </c>
      <c r="C1" s="3"/>
      <c r="D1" s="3"/>
      <c r="E1" s="3"/>
      <c r="F1" s="3"/>
      <c r="G1" s="3"/>
      <c r="H1" s="3"/>
      <c r="I1" s="3"/>
      <c r="J1" s="3"/>
      <c r="K1" s="4"/>
    </row>
    <row r="2" ht="47.45" customHeight="1" spans="1:16">
      <c r="A2" s="5" t="s">
        <v>85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7.45" customHeight="1" spans="1:16">
      <c r="A3" s="6" t="s">
        <v>86</v>
      </c>
      <c r="B3" s="4"/>
      <c r="C3" s="4"/>
      <c r="D3" s="4"/>
      <c r="E3" s="4"/>
      <c r="F3" s="4"/>
      <c r="G3" s="4"/>
      <c r="H3" s="4"/>
      <c r="I3" s="4"/>
      <c r="J3" s="4"/>
      <c r="K3" s="4"/>
      <c r="P3" s="7"/>
    </row>
    <row r="4" ht="47.45" customHeight="1" spans="1:16">
      <c r="A4" s="8" t="s">
        <v>87</v>
      </c>
      <c r="B4" s="9" t="s">
        <v>88</v>
      </c>
      <c r="C4" s="10"/>
      <c r="D4" s="10"/>
      <c r="E4" s="11"/>
      <c r="F4" s="9" t="s">
        <v>89</v>
      </c>
      <c r="G4" s="12"/>
      <c r="H4" s="12"/>
      <c r="I4" s="12"/>
      <c r="J4" s="12"/>
      <c r="K4" s="13"/>
    </row>
    <row r="5" ht="20.1" customHeight="1" spans="1:16">
      <c r="A5" s="14" t="s">
        <v>90</v>
      </c>
      <c r="B5" s="15" t="s">
        <v>91</v>
      </c>
      <c r="C5" s="16"/>
      <c r="D5" s="16"/>
      <c r="E5" s="16"/>
      <c r="F5" s="16"/>
      <c r="G5" s="16"/>
      <c r="H5" s="16"/>
      <c r="I5" s="16"/>
      <c r="J5" s="16"/>
      <c r="K5" s="17"/>
    </row>
    <row r="6" ht="20.1" customHeight="1" spans="1:16">
      <c r="A6" s="18" t="s">
        <v>92</v>
      </c>
      <c r="B6" s="19"/>
      <c r="C6" s="20"/>
      <c r="D6" s="20"/>
      <c r="E6" s="20"/>
      <c r="F6" s="20"/>
      <c r="G6" s="20"/>
      <c r="H6" s="20"/>
      <c r="I6" s="20"/>
      <c r="J6" s="20"/>
      <c r="K6" s="21"/>
    </row>
    <row r="7" ht="20.1" customHeight="1" spans="1:16">
      <c r="A7" s="22" t="s">
        <v>107</v>
      </c>
      <c r="B7" s="23"/>
      <c r="C7" s="24"/>
      <c r="D7" s="24"/>
      <c r="E7" s="24"/>
      <c r="F7" s="24"/>
      <c r="G7" s="24"/>
      <c r="H7" s="24"/>
      <c r="I7" s="24"/>
      <c r="J7" s="24"/>
      <c r="K7" s="25"/>
    </row>
    <row r="8" ht="24.95" customHeight="1" spans="1:16">
      <c r="A8" s="26" t="s">
        <v>94</v>
      </c>
      <c r="B8" s="27" t="s">
        <v>108</v>
      </c>
      <c r="C8" s="27"/>
      <c r="D8" s="28" t="s">
        <v>109</v>
      </c>
      <c r="E8" s="29"/>
      <c r="F8" s="28" t="s">
        <v>110</v>
      </c>
      <c r="G8" s="29"/>
      <c r="H8" s="30" t="s">
        <v>111</v>
      </c>
      <c r="I8" s="31"/>
      <c r="J8" s="30" t="s">
        <v>112</v>
      </c>
      <c r="K8" s="31"/>
    </row>
    <row r="9" ht="21.95" customHeight="1" spans="1:16">
      <c r="A9" s="32" t="s">
        <v>100</v>
      </c>
      <c r="B9" s="33">
        <v>60000</v>
      </c>
      <c r="C9" s="34" t="s">
        <v>101</v>
      </c>
      <c r="D9" s="33">
        <v>60</v>
      </c>
      <c r="E9" s="34" t="s">
        <v>113</v>
      </c>
      <c r="F9" s="35">
        <v>832.8</v>
      </c>
      <c r="G9" s="34" t="s">
        <v>114</v>
      </c>
      <c r="H9" s="35">
        <v>790.8</v>
      </c>
      <c r="I9" s="34" t="s">
        <v>114</v>
      </c>
      <c r="J9" s="35">
        <v>2.6</v>
      </c>
      <c r="K9" s="36" t="s">
        <v>115</v>
      </c>
    </row>
    <row r="10" ht="21.95" customHeight="1" spans="1:16">
      <c r="A10" s="37"/>
      <c r="B10" s="38"/>
      <c r="C10" s="38"/>
      <c r="D10" s="38"/>
      <c r="E10" s="38"/>
      <c r="F10" s="39"/>
      <c r="G10" s="38"/>
      <c r="H10" s="39"/>
      <c r="I10" s="38"/>
      <c r="J10" s="38"/>
      <c r="K10" s="40"/>
    </row>
    <row r="11" ht="21.95" customHeight="1" spans="1:16">
      <c r="A11" s="37"/>
      <c r="B11" s="38"/>
      <c r="C11" s="38"/>
      <c r="D11" s="38"/>
      <c r="E11" s="38"/>
      <c r="F11" s="39"/>
      <c r="G11" s="38"/>
      <c r="H11" s="39"/>
      <c r="I11" s="38"/>
      <c r="J11" s="38"/>
      <c r="K11" s="40"/>
    </row>
    <row r="12" ht="21.95" customHeight="1" spans="1:16">
      <c r="A12" s="37"/>
      <c r="B12" s="38"/>
      <c r="C12" s="38"/>
      <c r="D12" s="38"/>
      <c r="E12" s="38"/>
      <c r="F12" s="39"/>
      <c r="G12" s="38"/>
      <c r="H12" s="39"/>
      <c r="I12" s="38"/>
      <c r="J12" s="38"/>
      <c r="K12" s="40"/>
      <c r="O12" s="41"/>
    </row>
    <row r="13" ht="21.95" customHeight="1" spans="1:16">
      <c r="A13" s="37"/>
      <c r="B13" s="38"/>
      <c r="C13" s="38"/>
      <c r="D13" s="38"/>
      <c r="E13" s="38"/>
      <c r="F13" s="39"/>
      <c r="G13" s="38"/>
      <c r="H13" s="39"/>
      <c r="I13" s="38"/>
      <c r="J13" s="38"/>
      <c r="K13" s="40"/>
    </row>
    <row r="14" ht="21.95" customHeight="1" spans="1:16">
      <c r="A14" s="37"/>
      <c r="B14" s="38"/>
      <c r="C14" s="38"/>
      <c r="D14" s="38"/>
      <c r="E14" s="38"/>
      <c r="F14" s="39"/>
      <c r="G14" s="38"/>
      <c r="H14" s="39"/>
      <c r="I14" s="38"/>
      <c r="J14" s="38"/>
      <c r="K14" s="40"/>
    </row>
    <row r="15" ht="21.95" customHeight="1" spans="1:16">
      <c r="A15" s="37"/>
      <c r="B15" s="38"/>
      <c r="C15" s="38"/>
      <c r="D15" s="38"/>
      <c r="E15" s="38"/>
      <c r="F15" s="39"/>
      <c r="G15" s="38"/>
      <c r="H15" s="39"/>
      <c r="I15" s="38"/>
      <c r="J15" s="38"/>
      <c r="K15" s="40"/>
    </row>
    <row r="16" ht="21.95" customHeight="1" spans="1:16">
      <c r="A16" s="42"/>
      <c r="B16" s="43"/>
      <c r="C16" s="43"/>
      <c r="D16" s="43"/>
      <c r="E16" s="43"/>
      <c r="F16" s="44"/>
      <c r="G16" s="43"/>
      <c r="H16" s="44"/>
      <c r="I16" s="43"/>
      <c r="J16" s="43"/>
      <c r="K16" s="45"/>
    </row>
    <row r="17" ht="21.95" customHeight="1" spans="1:11">
      <c r="A17" s="46" t="s">
        <v>102</v>
      </c>
      <c r="B17" s="47">
        <f t="shared" ref="B17:F17" si="0">SUM(B9:B16)</f>
        <v>60000</v>
      </c>
      <c r="C17" s="48" t="s">
        <v>101</v>
      </c>
      <c r="D17" s="33">
        <f t="shared" si="0"/>
        <v>60</v>
      </c>
      <c r="E17" s="34" t="s">
        <v>113</v>
      </c>
      <c r="F17" s="35">
        <f t="shared" si="0"/>
        <v>832.8</v>
      </c>
      <c r="G17" s="34" t="s">
        <v>114</v>
      </c>
      <c r="H17" s="35">
        <f>SUM(H9:H16)</f>
        <v>790.8</v>
      </c>
      <c r="I17" s="34" t="s">
        <v>114</v>
      </c>
      <c r="J17" s="35">
        <f>SUM(J9:J16)</f>
        <v>2.6</v>
      </c>
      <c r="K17" s="36" t="s">
        <v>115</v>
      </c>
    </row>
    <row r="18" ht="21.95" customHeight="1" spans="1:11">
      <c r="A18" s="49" t="s">
        <v>104</v>
      </c>
      <c r="B18" s="50"/>
      <c r="C18" s="50"/>
      <c r="D18" s="50"/>
      <c r="E18" s="50"/>
      <c r="F18" s="50"/>
      <c r="G18" s="50"/>
      <c r="H18" s="50"/>
      <c r="I18" s="50"/>
      <c r="J18" s="50"/>
      <c r="K18" s="51"/>
    </row>
    <row r="19" ht="21.95" customHeight="1" spans="1:11">
      <c r="A19" s="52" t="s">
        <v>105</v>
      </c>
      <c r="B19" s="53"/>
      <c r="C19" s="53"/>
      <c r="D19" s="53"/>
      <c r="E19" s="53"/>
      <c r="F19" s="53"/>
      <c r="G19" s="53"/>
      <c r="H19" s="53"/>
      <c r="I19" s="53"/>
      <c r="J19" s="53"/>
      <c r="K19" s="54"/>
    </row>
    <row r="20" spans="1:11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4"/>
    </row>
    <row r="21" spans="1:11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4"/>
    </row>
    <row r="22" spans="1:11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4"/>
    </row>
    <row r="23" spans="1:11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4"/>
    </row>
    <row r="24" spans="1:11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4"/>
    </row>
    <row r="25" spans="1:11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4"/>
    </row>
    <row r="26" spans="1:11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4"/>
    </row>
    <row r="27" spans="1:11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4"/>
    </row>
    <row r="28" spans="1:11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4"/>
    </row>
    <row r="29" spans="1:11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4"/>
    </row>
    <row r="30" spans="1:11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4"/>
    </row>
    <row r="31" spans="1:11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4"/>
    </row>
    <row r="32" spans="1:11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7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8:K18"/>
    <mergeCell ref="B1:K3"/>
    <mergeCell ref="B5:K7"/>
    <mergeCell ref="A19:K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报关单</vt:lpstr>
      <vt:lpstr>申报要素</vt:lpstr>
      <vt:lpstr>发票</vt:lpstr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Andy211</cp:lastModifiedBy>
  <dcterms:created xsi:type="dcterms:W3CDTF">2006-09-18T19:21:00Z</dcterms:created>
  <cp:lastPrinted>2024-08-01T05:12:00Z</cp:lastPrinted>
  <dcterms:modified xsi:type="dcterms:W3CDTF">2026-03-06T06:29:17Z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BE67D490FD124BA296F5712CD4EF9013_13</vt:lpwstr>
  </property>
  <property fmtid="{D5CDD505-2E9C-101B-9397-08002B2CF9AE}" pid="4" name="CalculationRule">
    <vt:i4>0</vt:i4>
  </property>
</Properties>
</file>